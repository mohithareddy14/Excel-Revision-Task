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ebd08994c1b48f8/"/>
    </mc:Choice>
  </mc:AlternateContent>
  <xr:revisionPtr revIDLastSave="0" documentId="8_{4F6C879C-CBBA-4756-9A87-20877367B2DD}" xr6:coauthVersionLast="47" xr6:coauthVersionMax="47" xr10:uidLastSave="{00000000-0000-0000-0000-000000000000}"/>
  <bookViews>
    <workbookView xWindow="-108" yWindow="-108" windowWidth="23256" windowHeight="12456" activeTab="1" xr2:uid="{02D77B09-9B6F-48B7-AE17-7BC56BF8E853}"/>
  </bookViews>
  <sheets>
    <sheet name="Employees" sheetId="1" r:id="rId1"/>
    <sheet name="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J27" i="2"/>
  <c r="J28" i="2"/>
  <c r="J29" i="2"/>
  <c r="J30" i="2"/>
  <c r="J31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K2" i="2"/>
  <c r="J2" i="2"/>
  <c r="B11" i="2"/>
  <c r="B10" i="2"/>
  <c r="B9" i="2"/>
  <c r="B8" i="2"/>
  <c r="B7" i="2"/>
  <c r="B6" i="2"/>
  <c r="B5" i="2"/>
  <c r="H2" i="2" a="1"/>
  <c r="H2" i="2" s="1"/>
  <c r="G2" i="2" a="1"/>
  <c r="G2" i="2" s="1"/>
  <c r="B4" i="2"/>
  <c r="B3" i="2"/>
  <c r="B2" i="2"/>
  <c r="E3" i="2"/>
  <c r="E4" i="2"/>
  <c r="E5" i="2"/>
  <c r="E6" i="2"/>
  <c r="E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<sst xmlns="http://schemas.openxmlformats.org/spreadsheetml/2006/main" count="183" uniqueCount="100">
  <si>
    <t>Employee ID</t>
  </si>
  <si>
    <t>First Name</t>
  </si>
  <si>
    <t>Last Name</t>
  </si>
  <si>
    <t>Department</t>
  </si>
  <si>
    <t>Position</t>
  </si>
  <si>
    <t>Hire Date</t>
  </si>
  <si>
    <t>Salary</t>
  </si>
  <si>
    <t>Full-Time</t>
  </si>
  <si>
    <t>Aarav</t>
  </si>
  <si>
    <t>Sharma</t>
  </si>
  <si>
    <t>IT</t>
  </si>
  <si>
    <t>Software Developer</t>
  </si>
  <si>
    <t>Yes</t>
  </si>
  <si>
    <t>Ananya</t>
  </si>
  <si>
    <t>Reddy</t>
  </si>
  <si>
    <t>HR</t>
  </si>
  <si>
    <t>HR Specialist</t>
  </si>
  <si>
    <t>Rahul</t>
  </si>
  <si>
    <t>Kumar</t>
  </si>
  <si>
    <t>Finance</t>
  </si>
  <si>
    <t>Financial Analyst</t>
  </si>
  <si>
    <t>Priya</t>
  </si>
  <si>
    <t>Singh</t>
  </si>
  <si>
    <t>Marketing</t>
  </si>
  <si>
    <t>Marketing Executive</t>
  </si>
  <si>
    <t>Arjun</t>
  </si>
  <si>
    <t>Patel</t>
  </si>
  <si>
    <t>Data Analyst</t>
  </si>
  <si>
    <t>Sneha</t>
  </si>
  <si>
    <t>Rao</t>
  </si>
  <si>
    <t>Sales</t>
  </si>
  <si>
    <t>Sales Executive</t>
  </si>
  <si>
    <t>No</t>
  </si>
  <si>
    <t>Vikram</t>
  </si>
  <si>
    <t>Gupta</t>
  </si>
  <si>
    <t>Senior Developer</t>
  </si>
  <si>
    <t>Kavya</t>
  </si>
  <si>
    <t>Nair</t>
  </si>
  <si>
    <t>Recruiter</t>
  </si>
  <si>
    <t>Rohan</t>
  </si>
  <si>
    <t>Mehta</t>
  </si>
  <si>
    <t>Accountant</t>
  </si>
  <si>
    <t>Divya</t>
  </si>
  <si>
    <t>Content Specialist</t>
  </si>
  <si>
    <t>Kiran</t>
  </si>
  <si>
    <t>Das</t>
  </si>
  <si>
    <t>Database Administrator</t>
  </si>
  <si>
    <t>Neha</t>
  </si>
  <si>
    <t>Sales Manager</t>
  </si>
  <si>
    <t>Aditya</t>
  </si>
  <si>
    <t>Verma</t>
  </si>
  <si>
    <t>Meera</t>
  </si>
  <si>
    <t>Joshi</t>
  </si>
  <si>
    <t>HR Manager</t>
  </si>
  <si>
    <t>Rohit</t>
  </si>
  <si>
    <t>Kapoor</t>
  </si>
  <si>
    <t>Pooja</t>
  </si>
  <si>
    <t>Iyer</t>
  </si>
  <si>
    <t>Marketing Manager</t>
  </si>
  <si>
    <t>Suresh</t>
  </si>
  <si>
    <t>Ishita</t>
  </si>
  <si>
    <t>Malhotra</t>
  </si>
  <si>
    <t>Data Scientist</t>
  </si>
  <si>
    <t>Nikhil</t>
  </si>
  <si>
    <t>Bansal</t>
  </si>
  <si>
    <t>Aisha</t>
  </si>
  <si>
    <t>Khan</t>
  </si>
  <si>
    <t>Manish</t>
  </si>
  <si>
    <t>Yadav</t>
  </si>
  <si>
    <t>Network Engineer</t>
  </si>
  <si>
    <t>Tanvi</t>
  </si>
  <si>
    <t>Shah</t>
  </si>
  <si>
    <t>Varun</t>
  </si>
  <si>
    <t>Swati</t>
  </si>
  <si>
    <t>Agarwal</t>
  </si>
  <si>
    <t>Finance Manager</t>
  </si>
  <si>
    <t>Ajay</t>
  </si>
  <si>
    <t>Nandini</t>
  </si>
  <si>
    <t>Sameer</t>
  </si>
  <si>
    <t>Ali</t>
  </si>
  <si>
    <t>Lakshmi</t>
  </si>
  <si>
    <t>Deepak</t>
  </si>
  <si>
    <t>Harini</t>
  </si>
  <si>
    <t>Analytical question</t>
  </si>
  <si>
    <t>Result</t>
  </si>
  <si>
    <t>Which department has the highest average salary?</t>
  </si>
  <si>
    <t>Average Salary</t>
  </si>
  <si>
    <t>How many employees were hired in the last 12 months?</t>
  </si>
  <si>
    <t>What is the total salary expense for full-time employees?</t>
  </si>
  <si>
    <t>Which position has the most employees?</t>
  </si>
  <si>
    <t>Employee Count</t>
  </si>
  <si>
    <t>What is the median salary?</t>
  </si>
  <si>
    <t>What is the highest salary?</t>
  </si>
  <si>
    <t>What is the lowest salary?</t>
  </si>
  <si>
    <t>What is the average salary across the company?</t>
  </si>
  <si>
    <t>How many full-time employees are there?</t>
  </si>
  <si>
    <t>How many employees are in the IT department?</t>
  </si>
  <si>
    <t>Year of Hire</t>
  </si>
  <si>
    <t>Tenure(Years)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</si>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</sst>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14" fontId="1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169" fontId="0" fillId="0" borderId="0" xfId="0" applyNumberFormat="1" applyAlignment="1">
      <alignment horizontal="right" vertical="center" wrapText="1"/>
    </xf>
    <xf numFmtId="169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 applyFont="1" applyAlignment="1">
      <alignment wrapText="1"/>
    </xf>
    <xf numFmtId="16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9" formatCode="&quot;₹&quot;\ #,##0.00"/>
      <alignment horizontal="right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9F63B5-73CA-4EBE-9FE5-F3401F28B78C}" name="EmployeeData" displayName="EmployeeData" ref="A1:H31" totalsRowShown="0" headerRowDxfId="0" dataDxfId="2">
  <autoFilter ref="A1:H31" xr:uid="{1F9F63B5-73CA-4EBE-9FE5-F3401F28B78C}"/>
  <tableColumns count="8">
    <tableColumn id="1" xr3:uid="{DE09B0B6-09C9-4B5C-9E4D-D0C8DE928E44}" name="Employee ID" dataDxfId="10"/>
    <tableColumn id="2" xr3:uid="{1CEB9165-D037-4372-A24E-B2DF66B85B18}" name="First Name" dataDxfId="9"/>
    <tableColumn id="3" xr3:uid="{877FFB27-4EF5-4DBB-9F73-AEC1E05B0A1D}" name="Last Name" dataDxfId="8"/>
    <tableColumn id="4" xr3:uid="{322AD2A4-7F3A-4A5F-830C-725C4490CCEA}" name="Department" dataDxfId="7"/>
    <tableColumn id="5" xr3:uid="{470F74C3-9662-462E-8AA5-BA49D136BB3E}" name="Position" dataDxfId="6"/>
    <tableColumn id="6" xr3:uid="{5807B58D-0269-41B3-9F35-EDB4654657F4}" name="Hire Date" dataDxfId="5"/>
    <tableColumn id="7" xr3:uid="{D4B5102E-BFC9-48FC-BF92-05DBEE3BFB03}" name="Salary" dataDxfId="4"/>
    <tableColumn id="8" xr3:uid="{8B2BCE00-CAF2-43C3-B455-EDB48B8D67EB}" name="Full-Tim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D7794-91DB-4E98-8340-9E3B787E1520}">
  <dimension ref="A1:H31"/>
  <sheetViews>
    <sheetView workbookViewId="0">
      <pane ySplit="1" topLeftCell="A2" activePane="bottomLeft" state="frozen"/>
      <selection pane="bottomLeft" activeCell="K6" sqref="K6"/>
    </sheetView>
  </sheetViews>
  <sheetFormatPr defaultRowHeight="14.4" x14ac:dyDescent="0.3"/>
  <cols>
    <col min="1" max="1" width="16.77734375" customWidth="1"/>
    <col min="2" max="2" width="14.5546875" customWidth="1"/>
    <col min="3" max="3" width="15.109375" customWidth="1"/>
    <col min="4" max="4" width="15.33203125" customWidth="1"/>
    <col min="5" max="5" width="14.33203125" customWidth="1"/>
    <col min="6" max="6" width="15.88671875" customWidth="1"/>
    <col min="7" max="7" width="17.109375" customWidth="1"/>
    <col min="8" max="8" width="14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0" t="s">
        <v>6</v>
      </c>
      <c r="H1" s="1" t="s">
        <v>7</v>
      </c>
    </row>
    <row r="2" spans="1:8" ht="28.8" x14ac:dyDescent="0.3">
      <c r="A2" s="3">
        <v>1001</v>
      </c>
      <c r="B2" s="2" t="s">
        <v>8</v>
      </c>
      <c r="C2" s="2" t="s">
        <v>9</v>
      </c>
      <c r="D2" s="2" t="s">
        <v>10</v>
      </c>
      <c r="E2" s="2" t="s">
        <v>11</v>
      </c>
      <c r="F2" s="5">
        <v>44576</v>
      </c>
      <c r="G2" s="6">
        <v>65000</v>
      </c>
      <c r="H2" s="2" t="s">
        <v>12</v>
      </c>
    </row>
    <row r="3" spans="1:8" x14ac:dyDescent="0.3">
      <c r="A3" s="3">
        <v>1002</v>
      </c>
      <c r="B3" s="2" t="s">
        <v>13</v>
      </c>
      <c r="C3" s="2" t="s">
        <v>14</v>
      </c>
      <c r="D3" s="2" t="s">
        <v>15</v>
      </c>
      <c r="E3" s="2" t="s">
        <v>16</v>
      </c>
      <c r="F3" s="5">
        <v>45007</v>
      </c>
      <c r="G3" s="6">
        <v>52000</v>
      </c>
      <c r="H3" s="2" t="s">
        <v>12</v>
      </c>
    </row>
    <row r="4" spans="1:8" ht="28.8" x14ac:dyDescent="0.3">
      <c r="A4" s="3">
        <v>1003</v>
      </c>
      <c r="B4" s="2" t="s">
        <v>17</v>
      </c>
      <c r="C4" s="2" t="s">
        <v>18</v>
      </c>
      <c r="D4" s="2" t="s">
        <v>19</v>
      </c>
      <c r="E4" s="2" t="s">
        <v>20</v>
      </c>
      <c r="F4" s="5">
        <v>44387</v>
      </c>
      <c r="G4" s="6">
        <v>68000</v>
      </c>
      <c r="H4" s="2" t="s">
        <v>12</v>
      </c>
    </row>
    <row r="5" spans="1:8" ht="28.8" x14ac:dyDescent="0.3">
      <c r="A5" s="3">
        <v>1004</v>
      </c>
      <c r="B5" s="2" t="s">
        <v>21</v>
      </c>
      <c r="C5" s="2" t="s">
        <v>22</v>
      </c>
      <c r="D5" s="2" t="s">
        <v>23</v>
      </c>
      <c r="E5" s="2" t="s">
        <v>24</v>
      </c>
      <c r="F5" s="5">
        <v>45327</v>
      </c>
      <c r="G5" s="6">
        <v>48000</v>
      </c>
      <c r="H5" s="2" t="s">
        <v>12</v>
      </c>
    </row>
    <row r="6" spans="1:8" x14ac:dyDescent="0.3">
      <c r="A6" s="3">
        <v>1005</v>
      </c>
      <c r="B6" s="2" t="s">
        <v>25</v>
      </c>
      <c r="C6" s="2" t="s">
        <v>26</v>
      </c>
      <c r="D6" s="2" t="s">
        <v>10</v>
      </c>
      <c r="E6" s="2" t="s">
        <v>27</v>
      </c>
      <c r="F6" s="5">
        <v>45187</v>
      </c>
      <c r="G6" s="6">
        <v>62000</v>
      </c>
      <c r="H6" s="2" t="s">
        <v>12</v>
      </c>
    </row>
    <row r="7" spans="1:8" x14ac:dyDescent="0.3">
      <c r="A7" s="3">
        <v>1006</v>
      </c>
      <c r="B7" s="2" t="s">
        <v>28</v>
      </c>
      <c r="C7" s="2" t="s">
        <v>29</v>
      </c>
      <c r="D7" s="2" t="s">
        <v>30</v>
      </c>
      <c r="E7" s="2" t="s">
        <v>31</v>
      </c>
      <c r="F7" s="5">
        <v>45608</v>
      </c>
      <c r="G7" s="6">
        <v>45000</v>
      </c>
      <c r="H7" s="2" t="s">
        <v>32</v>
      </c>
    </row>
    <row r="8" spans="1:8" ht="28.8" x14ac:dyDescent="0.3">
      <c r="A8" s="3">
        <v>1007</v>
      </c>
      <c r="B8" s="2" t="s">
        <v>33</v>
      </c>
      <c r="C8" s="2" t="s">
        <v>34</v>
      </c>
      <c r="D8" s="2" t="s">
        <v>10</v>
      </c>
      <c r="E8" s="2" t="s">
        <v>35</v>
      </c>
      <c r="F8" s="5">
        <v>43971</v>
      </c>
      <c r="G8" s="6">
        <v>85000</v>
      </c>
      <c r="H8" s="2" t="s">
        <v>12</v>
      </c>
    </row>
    <row r="9" spans="1:8" x14ac:dyDescent="0.3">
      <c r="A9" s="3">
        <v>1008</v>
      </c>
      <c r="B9" s="2" t="s">
        <v>36</v>
      </c>
      <c r="C9" s="2" t="s">
        <v>37</v>
      </c>
      <c r="D9" s="2" t="s">
        <v>15</v>
      </c>
      <c r="E9" s="2" t="s">
        <v>38</v>
      </c>
      <c r="F9" s="5">
        <v>44787</v>
      </c>
      <c r="G9" s="6">
        <v>47000</v>
      </c>
      <c r="H9" s="2" t="s">
        <v>12</v>
      </c>
    </row>
    <row r="10" spans="1:8" x14ac:dyDescent="0.3">
      <c r="A10" s="3">
        <v>1009</v>
      </c>
      <c r="B10" s="2" t="s">
        <v>39</v>
      </c>
      <c r="C10" s="2" t="s">
        <v>40</v>
      </c>
      <c r="D10" s="2" t="s">
        <v>19</v>
      </c>
      <c r="E10" s="2" t="s">
        <v>41</v>
      </c>
      <c r="F10" s="5">
        <v>45660</v>
      </c>
      <c r="G10" s="6">
        <v>50000</v>
      </c>
      <c r="H10" s="2" t="s">
        <v>12</v>
      </c>
    </row>
    <row r="11" spans="1:8" ht="28.8" x14ac:dyDescent="0.3">
      <c r="A11" s="3">
        <v>1010</v>
      </c>
      <c r="B11" s="2" t="s">
        <v>42</v>
      </c>
      <c r="C11" s="2" t="s">
        <v>14</v>
      </c>
      <c r="D11" s="2" t="s">
        <v>23</v>
      </c>
      <c r="E11" s="2" t="s">
        <v>43</v>
      </c>
      <c r="F11" s="5">
        <v>45102</v>
      </c>
      <c r="G11" s="6">
        <v>55000</v>
      </c>
      <c r="H11" s="2" t="s">
        <v>12</v>
      </c>
    </row>
    <row r="12" spans="1:8" ht="28.8" x14ac:dyDescent="0.3">
      <c r="A12" s="3">
        <v>1011</v>
      </c>
      <c r="B12" s="2" t="s">
        <v>44</v>
      </c>
      <c r="C12" s="2" t="s">
        <v>45</v>
      </c>
      <c r="D12" s="2" t="s">
        <v>10</v>
      </c>
      <c r="E12" s="2" t="s">
        <v>46</v>
      </c>
      <c r="F12" s="5">
        <v>44297</v>
      </c>
      <c r="G12" s="6">
        <v>78000</v>
      </c>
      <c r="H12" s="2" t="s">
        <v>12</v>
      </c>
    </row>
    <row r="13" spans="1:8" x14ac:dyDescent="0.3">
      <c r="A13" s="3">
        <v>1012</v>
      </c>
      <c r="B13" s="2" t="s">
        <v>47</v>
      </c>
      <c r="C13" s="2" t="s">
        <v>9</v>
      </c>
      <c r="D13" s="2" t="s">
        <v>30</v>
      </c>
      <c r="E13" s="2" t="s">
        <v>48</v>
      </c>
      <c r="F13" s="5">
        <v>44834</v>
      </c>
      <c r="G13" s="6">
        <v>72000</v>
      </c>
      <c r="H13" s="2" t="s">
        <v>12</v>
      </c>
    </row>
    <row r="14" spans="1:8" ht="28.8" x14ac:dyDescent="0.3">
      <c r="A14" s="3">
        <v>1013</v>
      </c>
      <c r="B14" s="2" t="s">
        <v>49</v>
      </c>
      <c r="C14" s="2" t="s">
        <v>50</v>
      </c>
      <c r="D14" s="2" t="s">
        <v>19</v>
      </c>
      <c r="E14" s="2" t="s">
        <v>20</v>
      </c>
      <c r="F14" s="5">
        <v>45276</v>
      </c>
      <c r="G14" s="6">
        <v>64000</v>
      </c>
      <c r="H14" s="2" t="s">
        <v>12</v>
      </c>
    </row>
    <row r="15" spans="1:8" x14ac:dyDescent="0.3">
      <c r="A15" s="3">
        <v>1014</v>
      </c>
      <c r="B15" s="2" t="s">
        <v>51</v>
      </c>
      <c r="C15" s="2" t="s">
        <v>52</v>
      </c>
      <c r="D15" s="2" t="s">
        <v>15</v>
      </c>
      <c r="E15" s="2" t="s">
        <v>53</v>
      </c>
      <c r="F15" s="5">
        <v>43898</v>
      </c>
      <c r="G15" s="6">
        <v>75000</v>
      </c>
      <c r="H15" s="2" t="s">
        <v>12</v>
      </c>
    </row>
    <row r="16" spans="1:8" ht="28.8" x14ac:dyDescent="0.3">
      <c r="A16" s="3">
        <v>1015</v>
      </c>
      <c r="B16" s="2" t="s">
        <v>54</v>
      </c>
      <c r="C16" s="2" t="s">
        <v>55</v>
      </c>
      <c r="D16" s="2" t="s">
        <v>10</v>
      </c>
      <c r="E16" s="2" t="s">
        <v>11</v>
      </c>
      <c r="F16" s="5">
        <v>45584</v>
      </c>
      <c r="G16" s="6">
        <v>60000</v>
      </c>
      <c r="H16" s="2" t="s">
        <v>32</v>
      </c>
    </row>
    <row r="17" spans="1:8" ht="28.8" x14ac:dyDescent="0.3">
      <c r="A17" s="3">
        <v>1016</v>
      </c>
      <c r="B17" s="2" t="s">
        <v>56</v>
      </c>
      <c r="C17" s="2" t="s">
        <v>57</v>
      </c>
      <c r="D17" s="2" t="s">
        <v>23</v>
      </c>
      <c r="E17" s="2" t="s">
        <v>58</v>
      </c>
      <c r="F17" s="5">
        <v>44323</v>
      </c>
      <c r="G17" s="6">
        <v>80000</v>
      </c>
      <c r="H17" s="2" t="s">
        <v>12</v>
      </c>
    </row>
    <row r="18" spans="1:8" x14ac:dyDescent="0.3">
      <c r="A18" s="3">
        <v>1017</v>
      </c>
      <c r="B18" s="2" t="s">
        <v>59</v>
      </c>
      <c r="C18" s="2" t="s">
        <v>29</v>
      </c>
      <c r="D18" s="2" t="s">
        <v>30</v>
      </c>
      <c r="E18" s="2" t="s">
        <v>31</v>
      </c>
      <c r="F18" s="5">
        <v>44947</v>
      </c>
      <c r="G18" s="6">
        <v>46000</v>
      </c>
      <c r="H18" s="2" t="s">
        <v>12</v>
      </c>
    </row>
    <row r="19" spans="1:8" x14ac:dyDescent="0.3">
      <c r="A19" s="3">
        <v>1018</v>
      </c>
      <c r="B19" s="2" t="s">
        <v>60</v>
      </c>
      <c r="C19" s="2" t="s">
        <v>61</v>
      </c>
      <c r="D19" s="2" t="s">
        <v>10</v>
      </c>
      <c r="E19" s="2" t="s">
        <v>62</v>
      </c>
      <c r="F19" s="5">
        <v>45701</v>
      </c>
      <c r="G19" s="6">
        <v>90000</v>
      </c>
      <c r="H19" s="2" t="s">
        <v>12</v>
      </c>
    </row>
    <row r="20" spans="1:8" x14ac:dyDescent="0.3">
      <c r="A20" s="3">
        <v>1019</v>
      </c>
      <c r="B20" s="2" t="s">
        <v>63</v>
      </c>
      <c r="C20" s="2" t="s">
        <v>64</v>
      </c>
      <c r="D20" s="2" t="s">
        <v>19</v>
      </c>
      <c r="E20" s="2" t="s">
        <v>41</v>
      </c>
      <c r="F20" s="5">
        <v>45532</v>
      </c>
      <c r="G20" s="6">
        <v>51000</v>
      </c>
      <c r="H20" s="2" t="s">
        <v>32</v>
      </c>
    </row>
    <row r="21" spans="1:8" x14ac:dyDescent="0.3">
      <c r="A21" s="3">
        <v>1020</v>
      </c>
      <c r="B21" s="2" t="s">
        <v>65</v>
      </c>
      <c r="C21" s="2" t="s">
        <v>66</v>
      </c>
      <c r="D21" s="2" t="s">
        <v>15</v>
      </c>
      <c r="E21" s="2" t="s">
        <v>38</v>
      </c>
      <c r="F21" s="5">
        <v>45234</v>
      </c>
      <c r="G21" s="6">
        <v>49000</v>
      </c>
      <c r="H21" s="2" t="s">
        <v>12</v>
      </c>
    </row>
    <row r="22" spans="1:8" ht="28.8" x14ac:dyDescent="0.3">
      <c r="A22" s="3">
        <v>1021</v>
      </c>
      <c r="B22" s="2" t="s">
        <v>67</v>
      </c>
      <c r="C22" s="2" t="s">
        <v>68</v>
      </c>
      <c r="D22" s="2" t="s">
        <v>10</v>
      </c>
      <c r="E22" s="2" t="s">
        <v>69</v>
      </c>
      <c r="F22" s="5">
        <v>44729</v>
      </c>
      <c r="G22" s="6">
        <v>67000</v>
      </c>
      <c r="H22" s="2" t="s">
        <v>12</v>
      </c>
    </row>
    <row r="23" spans="1:8" ht="28.8" x14ac:dyDescent="0.3">
      <c r="A23" s="3">
        <v>1022</v>
      </c>
      <c r="B23" s="2" t="s">
        <v>70</v>
      </c>
      <c r="C23" s="2" t="s">
        <v>71</v>
      </c>
      <c r="D23" s="2" t="s">
        <v>23</v>
      </c>
      <c r="E23" s="2" t="s">
        <v>24</v>
      </c>
      <c r="F23" s="5">
        <v>45666</v>
      </c>
      <c r="G23" s="6">
        <v>50000</v>
      </c>
      <c r="H23" s="2" t="s">
        <v>12</v>
      </c>
    </row>
    <row r="24" spans="1:8" x14ac:dyDescent="0.3">
      <c r="A24" s="3">
        <v>1023</v>
      </c>
      <c r="B24" s="2" t="s">
        <v>72</v>
      </c>
      <c r="C24" s="2" t="s">
        <v>14</v>
      </c>
      <c r="D24" s="2" t="s">
        <v>30</v>
      </c>
      <c r="E24" s="2" t="s">
        <v>48</v>
      </c>
      <c r="F24" s="5">
        <v>44309</v>
      </c>
      <c r="G24" s="6">
        <v>73000</v>
      </c>
      <c r="H24" s="2" t="s">
        <v>12</v>
      </c>
    </row>
    <row r="25" spans="1:8" ht="28.8" x14ac:dyDescent="0.3">
      <c r="A25" s="3">
        <v>1024</v>
      </c>
      <c r="B25" s="2" t="s">
        <v>73</v>
      </c>
      <c r="C25" s="2" t="s">
        <v>74</v>
      </c>
      <c r="D25" s="2" t="s">
        <v>19</v>
      </c>
      <c r="E25" s="2" t="s">
        <v>75</v>
      </c>
      <c r="F25" s="5">
        <v>44027</v>
      </c>
      <c r="G25" s="6">
        <v>88000</v>
      </c>
      <c r="H25" s="2" t="s">
        <v>12</v>
      </c>
    </row>
    <row r="26" spans="1:8" ht="28.8" x14ac:dyDescent="0.3">
      <c r="A26" s="3">
        <v>1025</v>
      </c>
      <c r="B26" s="2" t="s">
        <v>76</v>
      </c>
      <c r="C26" s="2" t="s">
        <v>18</v>
      </c>
      <c r="D26" s="2" t="s">
        <v>10</v>
      </c>
      <c r="E26" s="2" t="s">
        <v>11</v>
      </c>
      <c r="F26" s="5">
        <v>45262</v>
      </c>
      <c r="G26" s="6">
        <v>63000</v>
      </c>
      <c r="H26" s="2" t="s">
        <v>12</v>
      </c>
    </row>
    <row r="27" spans="1:8" x14ac:dyDescent="0.3">
      <c r="A27" s="3">
        <v>1026</v>
      </c>
      <c r="B27" s="2" t="s">
        <v>77</v>
      </c>
      <c r="C27" s="2" t="s">
        <v>29</v>
      </c>
      <c r="D27" s="2" t="s">
        <v>15</v>
      </c>
      <c r="E27" s="2" t="s">
        <v>16</v>
      </c>
      <c r="F27" s="5">
        <v>45340</v>
      </c>
      <c r="G27" s="6">
        <v>53000</v>
      </c>
      <c r="H27" s="2" t="s">
        <v>32</v>
      </c>
    </row>
    <row r="28" spans="1:8" x14ac:dyDescent="0.3">
      <c r="A28" s="3">
        <v>1027</v>
      </c>
      <c r="B28" s="2" t="s">
        <v>78</v>
      </c>
      <c r="C28" s="2" t="s">
        <v>79</v>
      </c>
      <c r="D28" s="2" t="s">
        <v>30</v>
      </c>
      <c r="E28" s="2" t="s">
        <v>31</v>
      </c>
      <c r="F28" s="5">
        <v>44861</v>
      </c>
      <c r="G28" s="6">
        <v>44000</v>
      </c>
      <c r="H28" s="2" t="s">
        <v>12</v>
      </c>
    </row>
    <row r="29" spans="1:8" ht="28.8" x14ac:dyDescent="0.3">
      <c r="A29" s="3">
        <v>1028</v>
      </c>
      <c r="B29" s="2" t="s">
        <v>80</v>
      </c>
      <c r="C29" s="2" t="s">
        <v>14</v>
      </c>
      <c r="D29" s="2" t="s">
        <v>19</v>
      </c>
      <c r="E29" s="2" t="s">
        <v>20</v>
      </c>
      <c r="F29" s="5">
        <v>45783</v>
      </c>
      <c r="G29" s="6">
        <v>66000</v>
      </c>
      <c r="H29" s="2" t="s">
        <v>12</v>
      </c>
    </row>
    <row r="30" spans="1:8" ht="28.8" x14ac:dyDescent="0.3">
      <c r="A30" s="3">
        <v>1029</v>
      </c>
      <c r="B30" s="2" t="s">
        <v>81</v>
      </c>
      <c r="C30" s="2" t="s">
        <v>22</v>
      </c>
      <c r="D30" s="2" t="s">
        <v>23</v>
      </c>
      <c r="E30" s="2" t="s">
        <v>43</v>
      </c>
      <c r="F30" s="5">
        <v>44632</v>
      </c>
      <c r="G30" s="6">
        <v>54000</v>
      </c>
      <c r="H30" s="2" t="s">
        <v>12</v>
      </c>
    </row>
    <row r="31" spans="1:8" x14ac:dyDescent="0.3">
      <c r="A31" s="3">
        <v>1030</v>
      </c>
      <c r="B31" s="2" t="s">
        <v>82</v>
      </c>
      <c r="C31" s="2" t="s">
        <v>26</v>
      </c>
      <c r="D31" s="2" t="s">
        <v>10</v>
      </c>
      <c r="E31" s="2" t="s">
        <v>27</v>
      </c>
      <c r="F31" s="5">
        <v>45867</v>
      </c>
      <c r="G31" s="6">
        <v>61000</v>
      </c>
      <c r="H31" s="2" t="s">
        <v>32</v>
      </c>
    </row>
  </sheetData>
  <conditionalFormatting sqref="G2:G31">
    <cfRule type="aboveAverage" dxfId="1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5823E-D415-4BA0-8EA5-3AFDA317A963}">
  <dimension ref="A1:N31"/>
  <sheetViews>
    <sheetView tabSelected="1" workbookViewId="0"/>
  </sheetViews>
  <sheetFormatPr defaultRowHeight="14.4" x14ac:dyDescent="0.3"/>
  <cols>
    <col min="1" max="1" width="53.6640625" customWidth="1"/>
    <col min="2" max="2" width="35.88671875" customWidth="1"/>
    <col min="4" max="4" width="19.5546875" customWidth="1"/>
    <col min="5" max="5" width="23.44140625" customWidth="1"/>
    <col min="7" max="7" width="21" customWidth="1"/>
    <col min="8" max="8" width="17.77734375" customWidth="1"/>
    <col min="10" max="10" width="20.21875" customWidth="1"/>
    <col min="11" max="11" width="17.44140625" customWidth="1"/>
    <col min="12" max="12" width="13.77734375" customWidth="1"/>
    <col min="14" max="14" width="18.44140625" customWidth="1"/>
  </cols>
  <sheetData>
    <row r="1" spans="1:14" x14ac:dyDescent="0.3">
      <c r="A1" s="8" t="s">
        <v>83</v>
      </c>
      <c r="B1" s="8" t="s">
        <v>84</v>
      </c>
      <c r="D1" t="s">
        <v>3</v>
      </c>
      <c r="E1" t="s">
        <v>86</v>
      </c>
      <c r="G1" t="s">
        <v>4</v>
      </c>
      <c r="H1" t="s">
        <v>90</v>
      </c>
      <c r="J1" t="s">
        <v>0</v>
      </c>
      <c r="K1" t="s">
        <v>97</v>
      </c>
      <c r="L1" t="s">
        <v>98</v>
      </c>
      <c r="N1" t="s">
        <v>99</v>
      </c>
    </row>
    <row r="2" spans="1:14" x14ac:dyDescent="0.3">
      <c r="A2" s="9" t="s">
        <v>85</v>
      </c>
      <c r="B2" t="str">
        <f>INDEX(D2:D6,MATCH(MAX(E2:E6),E2:E6,0))</f>
        <v>IT</v>
      </c>
      <c r="D2" t="s">
        <v>10</v>
      </c>
      <c r="E2">
        <f>AVERAGEIFS(Employees!$G$2:$G$31,Employees!$D$2:$D$31,D2)</f>
        <v>70111.111111111109</v>
      </c>
      <c r="G2" t="str" cm="1">
        <f t="array" ref="G2:G18">_xlfn._xlws.SORT(_xlfn.UNIQUE(Employees!E2:E31))</f>
        <v>Accountant</v>
      </c>
      <c r="H2" cm="1">
        <f t="array" ref="H2:H18">COUNTIF(Employees!$E$2:$E$31,_xlfn.ANCHORARRAY(G2))</f>
        <v>2</v>
      </c>
      <c r="J2">
        <f>Employees!A2</f>
        <v>1001</v>
      </c>
      <c r="K2">
        <f>YEAR(Employees!F2)</f>
        <v>2022</v>
      </c>
      <c r="L2">
        <f ca="1">DATEDIF(Employees!F2,TODAY(),"Y")</f>
        <v>4</v>
      </c>
      <c r="N2" t="str">
        <f>_xlfn.TEXTJOIN(" ",TRUE,Employees!B2,Employees!C2)</f>
        <v>Aarav Sharma</v>
      </c>
    </row>
    <row r="3" spans="1:14" x14ac:dyDescent="0.3">
      <c r="A3" s="9" t="s">
        <v>87</v>
      </c>
      <c r="B3">
        <f ca="1">COUNTIFS(Employees!$F$2:$F$31,"&gt;="&amp;EDATE(TODAY(),-12),Employees!$F$2:$F$31,"&lt;="&amp;TODAY())</f>
        <v>0</v>
      </c>
      <c r="D3" t="s">
        <v>15</v>
      </c>
      <c r="E3">
        <f>AVERAGEIFS(Employees!$G$2:$G$31,Employees!$D$2:$D$31,D3)</f>
        <v>55200</v>
      </c>
      <c r="G3" t="str">
        <v>Content Specialist</v>
      </c>
      <c r="H3">
        <v>2</v>
      </c>
      <c r="J3">
        <f>Employees!A3</f>
        <v>1002</v>
      </c>
      <c r="K3">
        <f>YEAR(Employees!F3)</f>
        <v>2023</v>
      </c>
      <c r="L3">
        <f ca="1">DATEDIF(Employees!F3,TODAY(),"Y")</f>
        <v>3</v>
      </c>
      <c r="N3" t="str">
        <f>_xlfn.TEXTJOIN(" ",TRUE,Employees!B3,Employees!C3)</f>
        <v>Ananya Reddy</v>
      </c>
    </row>
    <row r="4" spans="1:14" x14ac:dyDescent="0.3">
      <c r="A4" s="9" t="s">
        <v>88</v>
      </c>
      <c r="B4" s="7">
        <f>SUMIFS(Employees!$G$2:$G$31,Employees!$H$2:$H$31,"Yes")</f>
        <v>1591000</v>
      </c>
      <c r="D4" t="s">
        <v>19</v>
      </c>
      <c r="E4">
        <f>AVERAGEIFS(Employees!$G$2:$G$31,Employees!$D$2:$D$31,D4)</f>
        <v>64500</v>
      </c>
      <c r="G4" t="str">
        <v>Data Analyst</v>
      </c>
      <c r="H4">
        <v>2</v>
      </c>
      <c r="J4">
        <f>Employees!A4</f>
        <v>1003</v>
      </c>
      <c r="K4">
        <f>YEAR(Employees!F4)</f>
        <v>2021</v>
      </c>
      <c r="L4">
        <f ca="1">DATEDIF(Employees!F4,TODAY(),"Y")</f>
        <v>5</v>
      </c>
      <c r="N4" t="str">
        <f>_xlfn.TEXTJOIN(" ",TRUE,Employees!B4,Employees!C4)</f>
        <v>Rahul Kumar</v>
      </c>
    </row>
    <row r="5" spans="1:14" x14ac:dyDescent="0.3">
      <c r="A5" s="9" t="s">
        <v>89</v>
      </c>
      <c r="B5" t="str">
        <f>INDEX(_xlfn.ANCHORARRAY(G2),MATCH(MAX(_xlfn.ANCHORARRAY(H2)),_xlfn.ANCHORARRAY(H2),0))</f>
        <v>Financial Analyst</v>
      </c>
      <c r="D5" t="s">
        <v>23</v>
      </c>
      <c r="E5">
        <f>AVERAGEIFS(Employees!$G$2:$G$31,Employees!$D$2:$D$31,D5)</f>
        <v>57400</v>
      </c>
      <c r="G5" t="str">
        <v>Data Scientist</v>
      </c>
      <c r="H5">
        <v>1</v>
      </c>
      <c r="J5">
        <f>Employees!A5</f>
        <v>1004</v>
      </c>
      <c r="K5">
        <f>YEAR(Employees!F5)</f>
        <v>2024</v>
      </c>
      <c r="L5">
        <f ca="1">DATEDIF(Employees!F5,TODAY(),"Y")</f>
        <v>2</v>
      </c>
      <c r="N5" t="str">
        <f>_xlfn.TEXTJOIN(" ",TRUE,Employees!B5,Employees!C5)</f>
        <v>Priya Singh</v>
      </c>
    </row>
    <row r="6" spans="1:14" x14ac:dyDescent="0.3">
      <c r="A6" s="9" t="s">
        <v>91</v>
      </c>
      <c r="B6" s="7">
        <f>MEDIAN(Employees!$G$2:$G$31)</f>
        <v>61500</v>
      </c>
      <c r="D6" t="s">
        <v>30</v>
      </c>
      <c r="E6">
        <f>AVERAGEIFS(Employees!$G$2:$G$31,Employees!$D$2:$D$31,D6)</f>
        <v>56000</v>
      </c>
      <c r="G6" t="str">
        <v>Database Administrator</v>
      </c>
      <c r="H6">
        <v>1</v>
      </c>
      <c r="J6">
        <f>Employees!A6</f>
        <v>1005</v>
      </c>
      <c r="K6">
        <f>YEAR(Employees!F6)</f>
        <v>2023</v>
      </c>
      <c r="L6">
        <f ca="1">DATEDIF(Employees!F6,TODAY(),"Y")</f>
        <v>3</v>
      </c>
      <c r="N6" t="str">
        <f>_xlfn.TEXTJOIN(" ",TRUE,Employees!B6,Employees!C6)</f>
        <v>Arjun Patel</v>
      </c>
    </row>
    <row r="7" spans="1:14" x14ac:dyDescent="0.3">
      <c r="A7" s="9" t="s">
        <v>92</v>
      </c>
      <c r="B7" s="7">
        <f>MAX(Employees!$G$2:$G$31)</f>
        <v>90000</v>
      </c>
      <c r="G7" t="str">
        <v>Finance Manager</v>
      </c>
      <c r="H7">
        <v>1</v>
      </c>
      <c r="J7">
        <f>Employees!A7</f>
        <v>1006</v>
      </c>
      <c r="K7">
        <f>YEAR(Employees!F7)</f>
        <v>2024</v>
      </c>
      <c r="L7">
        <f ca="1">DATEDIF(Employees!F7,TODAY(),"Y")</f>
        <v>1</v>
      </c>
      <c r="N7" t="str">
        <f>_xlfn.TEXTJOIN(" ",TRUE,Employees!B7,Employees!C7)</f>
        <v>Sneha Rao</v>
      </c>
    </row>
    <row r="8" spans="1:14" x14ac:dyDescent="0.3">
      <c r="A8" s="9" t="s">
        <v>93</v>
      </c>
      <c r="B8" s="7">
        <f>MIN(Employees!$G$2:$G$31)</f>
        <v>44000</v>
      </c>
      <c r="G8" t="str">
        <v>Financial Analyst</v>
      </c>
      <c r="H8">
        <v>3</v>
      </c>
      <c r="J8">
        <f>Employees!A8</f>
        <v>1007</v>
      </c>
      <c r="K8">
        <f>YEAR(Employees!F8)</f>
        <v>2020</v>
      </c>
      <c r="L8">
        <f ca="1">DATEDIF(Employees!F8,TODAY(),"Y")</f>
        <v>6</v>
      </c>
      <c r="N8" t="str">
        <f>_xlfn.TEXTJOIN(" ",TRUE,Employees!B8,Employees!C8)</f>
        <v>Vikram Gupta</v>
      </c>
    </row>
    <row r="9" spans="1:14" x14ac:dyDescent="0.3">
      <c r="A9" s="9" t="s">
        <v>94</v>
      </c>
      <c r="B9" s="7">
        <f>AVERAGE(Employees!$G$2:$G$31)</f>
        <v>62033.333333333336</v>
      </c>
      <c r="G9" t="str">
        <v>HR Manager</v>
      </c>
      <c r="H9">
        <v>1</v>
      </c>
      <c r="J9">
        <f>Employees!A9</f>
        <v>1008</v>
      </c>
      <c r="K9">
        <f>YEAR(Employees!F9)</f>
        <v>2022</v>
      </c>
      <c r="L9">
        <f ca="1">DATEDIF(Employees!F9,TODAY(),"Y")</f>
        <v>4</v>
      </c>
      <c r="N9" t="str">
        <f>_xlfn.TEXTJOIN(" ",TRUE,Employees!B9,Employees!C9)</f>
        <v>Kavya Nair</v>
      </c>
    </row>
    <row r="10" spans="1:14" x14ac:dyDescent="0.3">
      <c r="A10" s="9" t="s">
        <v>95</v>
      </c>
      <c r="B10">
        <f>COUNTIF(Employees!$H$2:$H$31,"Yes")</f>
        <v>25</v>
      </c>
      <c r="G10" t="str">
        <v>HR Specialist</v>
      </c>
      <c r="H10">
        <v>2</v>
      </c>
      <c r="J10">
        <f>Employees!A10</f>
        <v>1009</v>
      </c>
      <c r="K10">
        <f>YEAR(Employees!F10)</f>
        <v>2025</v>
      </c>
      <c r="L10">
        <f ca="1">DATEDIF(Employees!F10,TODAY(),"Y")</f>
        <v>1</v>
      </c>
      <c r="N10" t="str">
        <f>_xlfn.TEXTJOIN(" ",TRUE,Employees!B10,Employees!C10)</f>
        <v>Rohan Mehta</v>
      </c>
    </row>
    <row r="11" spans="1:14" x14ac:dyDescent="0.3">
      <c r="A11" s="9" t="s">
        <v>96</v>
      </c>
      <c r="B11">
        <f>COUNTIF(Employees!$D$2:$D$31,"IT")</f>
        <v>9</v>
      </c>
      <c r="G11" t="str">
        <v>Marketing Executive</v>
      </c>
      <c r="H11">
        <v>2</v>
      </c>
      <c r="J11">
        <f>Employees!A11</f>
        <v>1010</v>
      </c>
      <c r="K11">
        <f>YEAR(Employees!F11)</f>
        <v>2023</v>
      </c>
      <c r="L11">
        <f ca="1">DATEDIF(Employees!F11,TODAY(),"Y")</f>
        <v>3</v>
      </c>
      <c r="N11" t="str">
        <f>_xlfn.TEXTJOIN(" ",TRUE,Employees!B11,Employees!C11)</f>
        <v>Divya Reddy</v>
      </c>
    </row>
    <row r="12" spans="1:14" x14ac:dyDescent="0.3">
      <c r="G12" t="str">
        <v>Marketing Manager</v>
      </c>
      <c r="H12">
        <v>1</v>
      </c>
      <c r="J12">
        <f>Employees!A12</f>
        <v>1011</v>
      </c>
      <c r="K12">
        <f>YEAR(Employees!F12)</f>
        <v>2021</v>
      </c>
      <c r="L12">
        <f ca="1">DATEDIF(Employees!F12,TODAY(),"Y")</f>
        <v>5</v>
      </c>
      <c r="N12" t="str">
        <f>_xlfn.TEXTJOIN(" ",TRUE,Employees!B12,Employees!C12)</f>
        <v>Kiran Das</v>
      </c>
    </row>
    <row r="13" spans="1:14" x14ac:dyDescent="0.3">
      <c r="G13" t="str">
        <v>Network Engineer</v>
      </c>
      <c r="H13">
        <v>1</v>
      </c>
      <c r="J13">
        <f>Employees!A13</f>
        <v>1012</v>
      </c>
      <c r="K13">
        <f>YEAR(Employees!F13)</f>
        <v>2022</v>
      </c>
      <c r="L13">
        <f ca="1">DATEDIF(Employees!F13,TODAY(),"Y")</f>
        <v>3</v>
      </c>
      <c r="N13" t="str">
        <f>_xlfn.TEXTJOIN(" ",TRUE,Employees!B13,Employees!C13)</f>
        <v>Neha Sharma</v>
      </c>
    </row>
    <row r="14" spans="1:14" x14ac:dyDescent="0.3">
      <c r="G14" t="str">
        <v>Recruiter</v>
      </c>
      <c r="H14">
        <v>2</v>
      </c>
      <c r="J14">
        <f>Employees!A14</f>
        <v>1013</v>
      </c>
      <c r="K14">
        <f>YEAR(Employees!F14)</f>
        <v>2023</v>
      </c>
      <c r="L14">
        <f ca="1">DATEDIF(Employees!F14,TODAY(),"Y")</f>
        <v>2</v>
      </c>
      <c r="N14" t="str">
        <f>_xlfn.TEXTJOIN(" ",TRUE,Employees!B14,Employees!C14)</f>
        <v>Aditya Verma</v>
      </c>
    </row>
    <row r="15" spans="1:14" x14ac:dyDescent="0.3">
      <c r="G15" t="str">
        <v>Sales Executive</v>
      </c>
      <c r="H15">
        <v>3</v>
      </c>
      <c r="J15">
        <f>Employees!A15</f>
        <v>1014</v>
      </c>
      <c r="K15">
        <f>YEAR(Employees!F15)</f>
        <v>2020</v>
      </c>
      <c r="L15">
        <f ca="1">DATEDIF(Employees!F15,TODAY(),"Y")</f>
        <v>6</v>
      </c>
      <c r="N15" t="str">
        <f>_xlfn.TEXTJOIN(" ",TRUE,Employees!B15,Employees!C15)</f>
        <v>Meera Joshi</v>
      </c>
    </row>
    <row r="16" spans="1:14" x14ac:dyDescent="0.3">
      <c r="G16" t="str">
        <v>Sales Manager</v>
      </c>
      <c r="H16">
        <v>2</v>
      </c>
      <c r="J16">
        <f>Employees!A16</f>
        <v>1015</v>
      </c>
      <c r="K16">
        <f>YEAR(Employees!F16)</f>
        <v>2024</v>
      </c>
      <c r="L16">
        <f ca="1">DATEDIF(Employees!F16,TODAY(),"Y")</f>
        <v>1</v>
      </c>
      <c r="N16" t="str">
        <f>_xlfn.TEXTJOIN(" ",TRUE,Employees!B16,Employees!C16)</f>
        <v>Rohit Kapoor</v>
      </c>
    </row>
    <row r="17" spans="7:14" x14ac:dyDescent="0.3">
      <c r="G17" t="str">
        <v>Senior Developer</v>
      </c>
      <c r="H17">
        <v>1</v>
      </c>
      <c r="J17">
        <f>Employees!A17</f>
        <v>1016</v>
      </c>
      <c r="K17">
        <f>YEAR(Employees!F17)</f>
        <v>2021</v>
      </c>
      <c r="L17">
        <f ca="1">DATEDIF(Employees!F17,TODAY(),"Y")</f>
        <v>5</v>
      </c>
      <c r="N17" t="str">
        <f>_xlfn.TEXTJOIN(" ",TRUE,Employees!B17,Employees!C17)</f>
        <v>Pooja Iyer</v>
      </c>
    </row>
    <row r="18" spans="7:14" x14ac:dyDescent="0.3">
      <c r="G18" t="str">
        <v>Software Developer</v>
      </c>
      <c r="H18">
        <v>3</v>
      </c>
      <c r="J18">
        <f>Employees!A18</f>
        <v>1017</v>
      </c>
      <c r="K18">
        <f>YEAR(Employees!F18)</f>
        <v>2023</v>
      </c>
      <c r="L18">
        <f ca="1">DATEDIF(Employees!F18,TODAY(),"Y")</f>
        <v>3</v>
      </c>
      <c r="N18" t="str">
        <f>_xlfn.TEXTJOIN(" ",TRUE,Employees!B18,Employees!C18)</f>
        <v>Suresh Rao</v>
      </c>
    </row>
    <row r="19" spans="7:14" x14ac:dyDescent="0.3">
      <c r="J19">
        <f>Employees!A19</f>
        <v>1018</v>
      </c>
      <c r="K19">
        <f>YEAR(Employees!F19)</f>
        <v>2025</v>
      </c>
      <c r="L19">
        <f ca="1">DATEDIF(Employees!F19,TODAY(),"Y")</f>
        <v>1</v>
      </c>
      <c r="N19" t="str">
        <f>_xlfn.TEXTJOIN(" ",TRUE,Employees!B19,Employees!C19)</f>
        <v>Ishita Malhotra</v>
      </c>
    </row>
    <row r="20" spans="7:14" x14ac:dyDescent="0.3">
      <c r="J20">
        <f>Employees!A20</f>
        <v>1019</v>
      </c>
      <c r="K20">
        <f>YEAR(Employees!F20)</f>
        <v>2024</v>
      </c>
      <c r="L20">
        <f ca="1">DATEDIF(Employees!F20,TODAY(),"Y")</f>
        <v>2</v>
      </c>
      <c r="N20" t="str">
        <f>_xlfn.TEXTJOIN(" ",TRUE,Employees!B20,Employees!C20)</f>
        <v>Nikhil Bansal</v>
      </c>
    </row>
    <row r="21" spans="7:14" x14ac:dyDescent="0.3">
      <c r="J21">
        <f>Employees!A21</f>
        <v>1020</v>
      </c>
      <c r="K21">
        <f>YEAR(Employees!F21)</f>
        <v>2023</v>
      </c>
      <c r="L21">
        <f ca="1">DATEDIF(Employees!F21,TODAY(),"Y")</f>
        <v>2</v>
      </c>
      <c r="N21" t="str">
        <f>_xlfn.TEXTJOIN(" ",TRUE,Employees!B21,Employees!C21)</f>
        <v>Aisha Khan</v>
      </c>
    </row>
    <row r="22" spans="7:14" x14ac:dyDescent="0.3">
      <c r="J22">
        <f>Employees!A22</f>
        <v>1021</v>
      </c>
      <c r="K22">
        <f>YEAR(Employees!F22)</f>
        <v>2022</v>
      </c>
      <c r="L22">
        <f ca="1">DATEDIF(Employees!F22,TODAY(),"Y")</f>
        <v>4</v>
      </c>
      <c r="N22" t="str">
        <f>_xlfn.TEXTJOIN(" ",TRUE,Employees!B22,Employees!C22)</f>
        <v>Manish Yadav</v>
      </c>
    </row>
    <row r="23" spans="7:14" x14ac:dyDescent="0.3">
      <c r="J23">
        <f>Employees!A23</f>
        <v>1022</v>
      </c>
      <c r="K23">
        <f>YEAR(Employees!F23)</f>
        <v>2025</v>
      </c>
      <c r="L23">
        <f ca="1">DATEDIF(Employees!F23,TODAY(),"Y")</f>
        <v>1</v>
      </c>
      <c r="N23" t="str">
        <f>_xlfn.TEXTJOIN(" ",TRUE,Employees!B23,Employees!C23)</f>
        <v>Tanvi Shah</v>
      </c>
    </row>
    <row r="24" spans="7:14" x14ac:dyDescent="0.3">
      <c r="J24">
        <f>Employees!A24</f>
        <v>1023</v>
      </c>
      <c r="K24">
        <f>YEAR(Employees!F24)</f>
        <v>2021</v>
      </c>
      <c r="L24">
        <f ca="1">DATEDIF(Employees!F24,TODAY(),"Y")</f>
        <v>5</v>
      </c>
      <c r="N24" t="str">
        <f>_xlfn.TEXTJOIN(" ",TRUE,Employees!B24,Employees!C24)</f>
        <v>Varun Reddy</v>
      </c>
    </row>
    <row r="25" spans="7:14" x14ac:dyDescent="0.3">
      <c r="J25">
        <f>Employees!A25</f>
        <v>1024</v>
      </c>
      <c r="K25">
        <f>YEAR(Employees!F25)</f>
        <v>2020</v>
      </c>
      <c r="L25">
        <f ca="1">DATEDIF(Employees!F25,TODAY(),"Y")</f>
        <v>6</v>
      </c>
      <c r="N25" t="str">
        <f>_xlfn.TEXTJOIN(" ",TRUE,Employees!B25,Employees!C25)</f>
        <v>Swati Agarwal</v>
      </c>
    </row>
    <row r="26" spans="7:14" x14ac:dyDescent="0.3">
      <c r="J26">
        <f>Employees!A26</f>
        <v>1025</v>
      </c>
      <c r="K26">
        <f>YEAR(Employees!F26)</f>
        <v>2023</v>
      </c>
      <c r="L26">
        <f ca="1">DATEDIF(Employees!F26,TODAY(),"Y")</f>
        <v>2</v>
      </c>
      <c r="N26" t="str">
        <f>_xlfn.TEXTJOIN(" ",TRUE,Employees!B26,Employees!C26)</f>
        <v>Ajay Kumar</v>
      </c>
    </row>
    <row r="27" spans="7:14" x14ac:dyDescent="0.3">
      <c r="J27">
        <f>Employees!A27</f>
        <v>1026</v>
      </c>
      <c r="K27">
        <f>YEAR(Employees!F27)</f>
        <v>2024</v>
      </c>
      <c r="L27">
        <f ca="1">DATEDIF(Employees!F27,TODAY(),"Y")</f>
        <v>2</v>
      </c>
      <c r="N27" t="str">
        <f>_xlfn.TEXTJOIN(" ",TRUE,Employees!B27,Employees!C27)</f>
        <v>Nandini Rao</v>
      </c>
    </row>
    <row r="28" spans="7:14" x14ac:dyDescent="0.3">
      <c r="J28">
        <f>Employees!A28</f>
        <v>1027</v>
      </c>
      <c r="K28">
        <f>YEAR(Employees!F28)</f>
        <v>2022</v>
      </c>
      <c r="L28">
        <f ca="1">DATEDIF(Employees!F28,TODAY(),"Y")</f>
        <v>3</v>
      </c>
      <c r="N28" t="str">
        <f>_xlfn.TEXTJOIN(" ",TRUE,Employees!B28,Employees!C28)</f>
        <v>Sameer Ali</v>
      </c>
    </row>
    <row r="29" spans="7:14" x14ac:dyDescent="0.3">
      <c r="J29">
        <f>Employees!A29</f>
        <v>1028</v>
      </c>
      <c r="K29">
        <f>YEAR(Employees!F29)</f>
        <v>2025</v>
      </c>
      <c r="L29">
        <f ca="1">DATEDIF(Employees!F29,TODAY(),"Y")</f>
        <v>1</v>
      </c>
      <c r="N29" t="str">
        <f>_xlfn.TEXTJOIN(" ",TRUE,Employees!B29,Employees!C29)</f>
        <v>Lakshmi Reddy</v>
      </c>
    </row>
    <row r="30" spans="7:14" x14ac:dyDescent="0.3">
      <c r="J30">
        <f>Employees!A30</f>
        <v>1029</v>
      </c>
      <c r="K30">
        <f>YEAR(Employees!F30)</f>
        <v>2022</v>
      </c>
      <c r="L30">
        <f ca="1">DATEDIF(Employees!F30,TODAY(),"Y")</f>
        <v>4</v>
      </c>
      <c r="N30" t="str">
        <f>_xlfn.TEXTJOIN(" ",TRUE,Employees!B30,Employees!C30)</f>
        <v>Deepak Singh</v>
      </c>
    </row>
    <row r="31" spans="7:14" x14ac:dyDescent="0.3">
      <c r="J31">
        <f>Employees!A31</f>
        <v>1030</v>
      </c>
      <c r="K31">
        <f>YEAR(Employees!F31)</f>
        <v>2025</v>
      </c>
      <c r="L31">
        <f ca="1">DATEDIF(Employees!F31,TODAY(),"Y")</f>
        <v>1</v>
      </c>
      <c r="N31" t="str">
        <f>_xlfn.TEXTJOIN(" ",TRUE,Employees!B31,Employees!C31)</f>
        <v>Harini Patel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Mohitha Reddy</dc:creator>
  <cp:lastModifiedBy>Mohitha Reddy</cp:lastModifiedBy>
  <dcterms:created xsi:type="dcterms:W3CDTF">2026-09-27T13:14:41Z</dcterms:created>
  <dcterms:modified xsi:type="dcterms:W3CDTF">2026-09-27T14:40:28Z</dcterms:modified>
</cp:coreProperties>
</file>